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81f7f71fa3b1e0/Desktop/PROJETOS PRISCILA/"/>
    </mc:Choice>
  </mc:AlternateContent>
  <xr:revisionPtr revIDLastSave="0" documentId="8_{74338E91-616F-4484-9305-4347A70E046D}" xr6:coauthVersionLast="47" xr6:coauthVersionMax="47" xr10:uidLastSave="{00000000-0000-0000-0000-000000000000}"/>
  <bookViews>
    <workbookView xWindow="-108" yWindow="-108" windowWidth="23256" windowHeight="12456" tabRatio="0" xr2:uid="{F147DD23-5E84-442E-810B-4F29E108A532}"/>
  </bookViews>
  <sheets>
    <sheet name="Planilha1" sheetId="1" r:id="rId1"/>
    <sheet name="Planilha2" sheetId="2" r:id="rId2"/>
  </sheets>
  <definedNames>
    <definedName name="aporte">Planilha1!$D$17</definedName>
    <definedName name="patrimonio">Planilha1!$D$20</definedName>
    <definedName name="qtd_anos">Planilha1!$D$18</definedName>
    <definedName name="rendimento_carteira">Planilha1!$D$13</definedName>
    <definedName name="salario">Planilha1!$D$12</definedName>
    <definedName name="sugestao_investimento">Planilha1!$D$14</definedName>
    <definedName name="taxa_mensal">Planilha1!$D$19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5" i="1" l="1"/>
  <c r="C36" i="1"/>
  <c r="C37" i="1"/>
  <c r="C38" i="1"/>
  <c r="C39" i="1"/>
  <c r="C34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1" i="1"/>
  <c r="D20" i="1"/>
  <c r="D21" i="1" s="1"/>
  <c r="D14" i="1"/>
  <c r="C25" i="1"/>
  <c r="D25" i="1" s="1"/>
  <c r="C26" i="1"/>
  <c r="D26" i="1" s="1"/>
  <c r="C27" i="1"/>
  <c r="D27" i="1" s="1"/>
  <c r="C28" i="1"/>
  <c r="D28" i="1" s="1"/>
  <c r="C24" i="1"/>
  <c r="D24" i="1" s="1"/>
  <c r="D35" i="1" l="1"/>
  <c r="D34" i="1"/>
  <c r="D39" i="1"/>
  <c r="D38" i="1"/>
  <c r="D37" i="1"/>
  <c r="D36" i="1"/>
  <c r="D40" i="1" l="1"/>
</calcChain>
</file>

<file path=xl/sharedStrings.xml><?xml version="1.0" encoding="utf-8"?>
<sst xmlns="http://schemas.openxmlformats.org/spreadsheetml/2006/main" count="71" uniqueCount="34">
  <si>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</si>
  <si>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</si>
  <si>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</si>
  <si>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</si>
  <si>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</si>
  <si>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</si>
  <si>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</si>
  <si>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</si>
  <si>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</si>
  <si>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</si>
  <si>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</si>
  <si>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</si>
  <si>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</si>
  <si>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</si>
  <si>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Salário</t>
  </si>
  <si>
    <t>Rendimento Carteira</t>
  </si>
  <si>
    <t>Sugestão de investimento</t>
  </si>
  <si>
    <t>PERFIL</t>
  </si>
  <si>
    <t>VALOR A SER INVESTIDO POR MÊS</t>
  </si>
  <si>
    <t>Porcentagem Sugerida</t>
  </si>
  <si>
    <t>Valores</t>
  </si>
  <si>
    <t>TIPO DE FII</t>
  </si>
  <si>
    <t>PAPEL</t>
  </si>
  <si>
    <t>TIJOLO</t>
  </si>
  <si>
    <t>HIBRÍDOS</t>
  </si>
  <si>
    <t>DESENVOLVIMENTO</t>
  </si>
  <si>
    <t>HOTELARIA</t>
  </si>
  <si>
    <t>CONSERVADOR</t>
  </si>
  <si>
    <t>FOFs</t>
  </si>
  <si>
    <t>%</t>
  </si>
  <si>
    <t>CHAVE</t>
  </si>
  <si>
    <t>MODERADO</t>
  </si>
  <si>
    <t>AGRESSIVO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</si>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</sst>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&quot;R$&quot;\ #,##0.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Segoe UI"/>
      <family val="2"/>
    </font>
    <font>
      <b/>
      <sz val="11"/>
      <name val="Segoe UI"/>
      <family val="2"/>
    </font>
    <font>
      <b/>
      <sz val="16"/>
      <color theme="0" tint="-4.9989318521683403E-2"/>
      <name val="Segoe UI Symbol"/>
      <family val="2"/>
    </font>
    <font>
      <sz val="11"/>
      <color theme="1"/>
      <name val="Segoe UI"/>
      <family val="2"/>
    </font>
    <font>
      <strike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/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 applyAlignment="1"/>
    <xf numFmtId="9" fontId="0" fillId="0" borderId="0" xfId="0" applyNumberFormat="1" applyAlignment="1">
      <alignment horizontal="center"/>
    </xf>
    <xf numFmtId="166" fontId="6" fillId="0" borderId="9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0" fontId="6" fillId="0" borderId="12" xfId="0" applyNumberFormat="1" applyFont="1" applyBorder="1" applyAlignment="1">
      <alignment horizontal="center"/>
    </xf>
    <xf numFmtId="166" fontId="7" fillId="5" borderId="12" xfId="0" applyNumberFormat="1" applyFont="1" applyFill="1" applyBorder="1" applyAlignment="1">
      <alignment horizontal="center"/>
    </xf>
    <xf numFmtId="166" fontId="7" fillId="5" borderId="15" xfId="0" applyNumberFormat="1" applyFont="1" applyFill="1" applyBorder="1" applyAlignment="1">
      <alignment horizontal="center"/>
    </xf>
    <xf numFmtId="166" fontId="6" fillId="5" borderId="17" xfId="0" applyNumberFormat="1" applyFont="1" applyFill="1" applyBorder="1" applyAlignment="1">
      <alignment horizontal="center"/>
    </xf>
    <xf numFmtId="166" fontId="6" fillId="5" borderId="18" xfId="0" applyNumberFormat="1" applyFont="1" applyFill="1" applyBorder="1" applyAlignment="1">
      <alignment horizontal="center"/>
    </xf>
    <xf numFmtId="166" fontId="6" fillId="5" borderId="20" xfId="0" applyNumberFormat="1" applyFont="1" applyFill="1" applyBorder="1" applyAlignment="1">
      <alignment horizontal="center"/>
    </xf>
    <xf numFmtId="166" fontId="6" fillId="5" borderId="21" xfId="0" applyNumberFormat="1" applyFont="1" applyFill="1" applyBorder="1" applyAlignment="1">
      <alignment horizontal="center"/>
    </xf>
    <xf numFmtId="166" fontId="6" fillId="5" borderId="23" xfId="0" applyNumberFormat="1" applyFont="1" applyFill="1" applyBorder="1" applyAlignment="1">
      <alignment horizontal="center"/>
    </xf>
    <xf numFmtId="166" fontId="6" fillId="5" borderId="24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0" fontId="8" fillId="4" borderId="6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left"/>
    </xf>
    <xf numFmtId="0" fontId="9" fillId="5" borderId="8" xfId="0" applyFont="1" applyFill="1" applyBorder="1" applyAlignment="1">
      <alignment horizontal="left"/>
    </xf>
    <xf numFmtId="166" fontId="9" fillId="5" borderId="9" xfId="1" applyNumberFormat="1" applyFont="1" applyFill="1" applyBorder="1" applyAlignment="1">
      <alignment horizontal="center"/>
    </xf>
    <xf numFmtId="0" fontId="9" fillId="5" borderId="10" xfId="0" applyFont="1" applyFill="1" applyBorder="1" applyAlignment="1">
      <alignment horizontal="left"/>
    </xf>
    <xf numFmtId="0" fontId="9" fillId="5" borderId="11" xfId="0" applyFont="1" applyFill="1" applyBorder="1" applyAlignment="1">
      <alignment horizontal="left"/>
    </xf>
    <xf numFmtId="10" fontId="9" fillId="5" borderId="12" xfId="2" applyNumberFormat="1" applyFont="1" applyFill="1" applyBorder="1" applyAlignment="1">
      <alignment horizontal="center"/>
    </xf>
    <xf numFmtId="0" fontId="9" fillId="5" borderId="13" xfId="0" applyFont="1" applyFill="1" applyBorder="1" applyAlignment="1">
      <alignment horizontal="left"/>
    </xf>
    <xf numFmtId="0" fontId="9" fillId="5" borderId="14" xfId="0" applyFont="1" applyFill="1" applyBorder="1" applyAlignment="1">
      <alignment horizontal="left"/>
    </xf>
    <xf numFmtId="166" fontId="9" fillId="5" borderId="15" xfId="0" applyNumberFormat="1" applyFont="1" applyFill="1" applyBorder="1" applyAlignment="1">
      <alignment horizontal="center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7" fillId="5" borderId="10" xfId="0" applyFont="1" applyFill="1" applyBorder="1" applyAlignment="1">
      <alignment horizontal="left"/>
    </xf>
    <xf numFmtId="0" fontId="7" fillId="5" borderId="11" xfId="0" applyFont="1" applyFill="1" applyBorder="1" applyAlignment="1">
      <alignment horizontal="left"/>
    </xf>
    <xf numFmtId="0" fontId="7" fillId="5" borderId="13" xfId="0" applyFont="1" applyFill="1" applyBorder="1" applyAlignment="1">
      <alignment horizontal="left"/>
    </xf>
    <xf numFmtId="0" fontId="7" fillId="5" borderId="14" xfId="0" applyFont="1" applyFill="1" applyBorder="1" applyAlignment="1">
      <alignment horizontal="left"/>
    </xf>
    <xf numFmtId="0" fontId="6" fillId="5" borderId="16" xfId="0" applyFont="1" applyFill="1" applyBorder="1"/>
    <xf numFmtId="0" fontId="6" fillId="5" borderId="19" xfId="0" applyFont="1" applyFill="1" applyBorder="1"/>
    <xf numFmtId="0" fontId="6" fillId="5" borderId="22" xfId="0" applyFont="1" applyFill="1" applyBorder="1"/>
    <xf numFmtId="0" fontId="6" fillId="7" borderId="0" xfId="0" applyFont="1" applyFill="1" applyBorder="1"/>
    <xf numFmtId="0" fontId="2" fillId="2" borderId="0" xfId="3" applyBorder="1"/>
    <xf numFmtId="0" fontId="2" fillId="2" borderId="0" xfId="3"/>
    <xf numFmtId="0" fontId="0" fillId="6" borderId="3" xfId="0" applyFill="1" applyBorder="1"/>
    <xf numFmtId="0" fontId="3" fillId="6" borderId="1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166" fontId="0" fillId="5" borderId="9" xfId="0" applyNumberForma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166" fontId="0" fillId="6" borderId="5" xfId="0" applyNumberFormat="1" applyFill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0" fontId="2" fillId="2" borderId="0" xfId="3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9" fontId="0" fillId="5" borderId="8" xfId="2" applyFont="1" applyFill="1" applyBorder="1" applyAlignment="1">
      <alignment horizontal="center"/>
    </xf>
    <xf numFmtId="166" fontId="3" fillId="6" borderId="4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9" fontId="0" fillId="0" borderId="0" xfId="2" applyFont="1" applyAlignment="1">
      <alignment horizontal="center"/>
    </xf>
    <xf numFmtId="0" fontId="0" fillId="0" borderId="5" xfId="0" applyBorder="1"/>
    <xf numFmtId="9" fontId="0" fillId="0" borderId="5" xfId="2" applyFon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9" fontId="2" fillId="2" borderId="0" xfId="2" applyFont="1" applyFill="1"/>
  </cellXfs>
  <cellStyles count="4">
    <cellStyle name="Neutro" xfId="3" builtinId="28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FFFFCC"/>
      <color rgb="FF3366CC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HIBRÍDOS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Planilha1!$C$34:$C$39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8-4D5B-B5D8-2587A9A63A2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228600</xdr:colOff>
      <xdr:row>8</xdr:row>
      <xdr:rowOff>114300</xdr:rowOff>
    </xdr:to>
    <xdr:pic>
      <xdr:nvPicPr>
        <xdr:cNvPr id="3" name="Imagem 2" descr="Gráfico de velas azuis">
          <a:extLst>
            <a:ext uri="{FF2B5EF4-FFF2-40B4-BE49-F238E27FC236}">
              <a16:creationId xmlns:a16="http://schemas.microsoft.com/office/drawing/2014/main" id="{F5CBD26F-803F-D2D3-DE79-CDCB5DC25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09260" cy="1516380"/>
        </a:xfrm>
        <a:prstGeom prst="rect">
          <a:avLst/>
        </a:prstGeom>
      </xdr:spPr>
    </xdr:pic>
    <xdr:clientData/>
  </xdr:twoCellAnchor>
  <xdr:twoCellAnchor>
    <xdr:from>
      <xdr:col>1</xdr:col>
      <xdr:colOff>11430</xdr:colOff>
      <xdr:row>41</xdr:row>
      <xdr:rowOff>30480</xdr:rowOff>
    </xdr:from>
    <xdr:to>
      <xdr:col>4</xdr:col>
      <xdr:colOff>38100</xdr:colOff>
      <xdr:row>56</xdr:row>
      <xdr:rowOff>144780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AB53E86-30A0-B3B8-8507-193007FD7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93D8-A610-42A0-8273-7B39A2A220F9}">
  <dimension ref="A1:G69"/>
  <sheetViews>
    <sheetView showGridLines="0" showRowColHeaders="0" tabSelected="1" topLeftCell="A27" workbookViewId="0">
      <selection activeCell="D18" sqref="D1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3.8" zeroHeight="1"/>
  <cols>
    <col min="1" max="1" width="4.19921875" customWidth="1"/>
    <col min="2" max="2" width="31.3984375" bestFit="1" customWidth="1"/>
    <col min="3" max="3" width="18.09765625" bestFit="1" customWidth="1"/>
    <col min="4" max="4" width="15.59765625" bestFit="1" customWidth="1"/>
    <col min="5" max="5" width="3.19921875" customWidth="1"/>
    <col min="6" max="6" width="13.69921875" hidden="1" customWidth="1"/>
    <col min="7" max="11" width="8.796875" hidden="1" customWidth="1"/>
    <col min="12" max="16384" width="8.796875" hidden="1"/>
  </cols>
  <sheetData>
    <row r="1" spans="2:7"/>
    <row r="2" spans="2:7"/>
    <row r="3" spans="2:7"/>
    <row r="4" spans="2:7"/>
    <row r="5" spans="2:7"/>
    <row r="6" spans="2:7"/>
    <row r="7" spans="2:7"/>
    <row r="8" spans="2:7"/>
    <row r="9" spans="2:7"/>
    <row r="10" spans="2:7" ht="14.4" thickBot="1"/>
    <row r="11" spans="2:7" ht="24.6">
      <c r="B11" s="16" t="s">
        <v>13</v>
      </c>
      <c r="C11" s="17"/>
      <c r="D11" s="18"/>
    </row>
    <row r="12" spans="2:7" ht="16.8">
      <c r="B12" s="23" t="s">
        <v>14</v>
      </c>
      <c r="C12" s="24"/>
      <c r="D12" s="25">
        <v>6700</v>
      </c>
    </row>
    <row r="13" spans="2:7" ht="16.8">
      <c r="B13" s="26" t="s">
        <v>15</v>
      </c>
      <c r="C13" s="27"/>
      <c r="D13" s="28">
        <v>8.8999999999999999E-3</v>
      </c>
    </row>
    <row r="14" spans="2:7" ht="17.399999999999999" thickBot="1">
      <c r="B14" s="29" t="s">
        <v>16</v>
      </c>
      <c r="C14" s="30"/>
      <c r="D14" s="31">
        <f>D12*30%</f>
        <v>2010</v>
      </c>
    </row>
    <row r="15" spans="2:7" ht="14.4" thickBot="1"/>
    <row r="16" spans="2:7" ht="31.05" customHeight="1">
      <c r="B16" s="19" t="s">
        <v>5</v>
      </c>
      <c r="C16" s="20"/>
      <c r="D16" s="21"/>
      <c r="G16" s="3"/>
    </row>
    <row r="17" spans="1:4" ht="16.8">
      <c r="B17" s="32" t="s">
        <v>0</v>
      </c>
      <c r="C17" s="33"/>
      <c r="D17" s="5">
        <v>2010</v>
      </c>
    </row>
    <row r="18" spans="1:4" ht="16.8">
      <c r="B18" s="34" t="s">
        <v>1</v>
      </c>
      <c r="C18" s="35"/>
      <c r="D18" s="6">
        <v>5</v>
      </c>
    </row>
    <row r="19" spans="1:4" ht="16.8">
      <c r="B19" s="34" t="s">
        <v>2</v>
      </c>
      <c r="C19" s="35"/>
      <c r="D19" s="7">
        <v>1.0789999999999999E-2</v>
      </c>
    </row>
    <row r="20" spans="1:4" ht="16.8">
      <c r="B20" s="36" t="s">
        <v>3</v>
      </c>
      <c r="C20" s="37"/>
      <c r="D20" s="8">
        <f>FV(taxa_mensal,qtd_anos*12,aporte*-1)</f>
        <v>168391.59713696016</v>
      </c>
    </row>
    <row r="21" spans="1:4" ht="17.399999999999999" thickBot="1">
      <c r="B21" s="38" t="s">
        <v>4</v>
      </c>
      <c r="C21" s="39"/>
      <c r="D21" s="9">
        <f>D20*D19</f>
        <v>1816.9453331078</v>
      </c>
    </row>
    <row r="22" spans="1:4" ht="14.4" thickBot="1"/>
    <row r="23" spans="1:4" ht="31.05" customHeight="1">
      <c r="B23" s="19" t="s">
        <v>11</v>
      </c>
      <c r="C23" s="20"/>
      <c r="D23" s="22" t="s">
        <v>12</v>
      </c>
    </row>
    <row r="24" spans="1:4" ht="17.399999999999999" thickBot="1">
      <c r="A24" s="2">
        <v>2</v>
      </c>
      <c r="B24" s="40" t="s">
        <v>6</v>
      </c>
      <c r="C24" s="10">
        <f>FV($D$19,$A24*12,$D$17*-1)</f>
        <v>54727.530868266884</v>
      </c>
      <c r="D24" s="11">
        <f>C24*rendimento_carteira</f>
        <v>487.07502472757528</v>
      </c>
    </row>
    <row r="25" spans="1:4" ht="17.399999999999999" thickBot="1">
      <c r="A25" s="2">
        <v>5</v>
      </c>
      <c r="B25" s="41" t="s">
        <v>7</v>
      </c>
      <c r="C25" s="12">
        <f>FV($D$19,$A25*12,$D$17*-1)</f>
        <v>168391.59713696016</v>
      </c>
      <c r="D25" s="13">
        <f>C25*rendimento_carteira</f>
        <v>1498.6852145189455</v>
      </c>
    </row>
    <row r="26" spans="1:4" ht="17.399999999999999" thickBot="1">
      <c r="A26" s="2">
        <v>10</v>
      </c>
      <c r="B26" s="41" t="s">
        <v>8</v>
      </c>
      <c r="C26" s="12">
        <f>FV($D$19,$A26*12,$D$17*-1)</f>
        <v>489001.26718564611</v>
      </c>
      <c r="D26" s="13">
        <f>C26*rendimento_carteira</f>
        <v>4352.11127795225</v>
      </c>
    </row>
    <row r="27" spans="1:4" ht="17.399999999999999" thickBot="1">
      <c r="A27" s="2">
        <v>20</v>
      </c>
      <c r="B27" s="41" t="s">
        <v>9</v>
      </c>
      <c r="C27" s="12">
        <f>FV($D$19,$A27*12,$D$17*-1)</f>
        <v>2261648.7841951321</v>
      </c>
      <c r="D27" s="13">
        <f>C27*rendimento_carteira</f>
        <v>20128.674179336675</v>
      </c>
    </row>
    <row r="28" spans="1:4" ht="17.399999999999999" thickBot="1">
      <c r="A28" s="2">
        <v>30</v>
      </c>
      <c r="B28" s="42" t="s">
        <v>10</v>
      </c>
      <c r="C28" s="14">
        <f>FV($D$19,$A28*12,$D$17*-1)</f>
        <v>8687561.0065594763</v>
      </c>
      <c r="D28" s="15">
        <f>C28*rendimento_carteira</f>
        <v>77319.292958379345</v>
      </c>
    </row>
    <row r="29" spans="1:4"/>
    <row r="30" spans="1:4">
      <c r="B30" s="44" t="s">
        <v>17</v>
      </c>
      <c r="C30" s="54" t="s">
        <v>32</v>
      </c>
      <c r="D30" s="45"/>
    </row>
    <row r="31" spans="1:4" ht="16.8">
      <c r="B31" s="43" t="s">
        <v>18</v>
      </c>
      <c r="C31" s="53">
        <f>aporte</f>
        <v>2010</v>
      </c>
    </row>
    <row r="32" spans="1:4" ht="14.4" thickBot="1"/>
    <row r="33" spans="2:4">
      <c r="B33" s="47" t="s">
        <v>21</v>
      </c>
      <c r="C33" s="55" t="s">
        <v>19</v>
      </c>
      <c r="D33" s="56" t="s">
        <v>20</v>
      </c>
    </row>
    <row r="34" spans="2:4">
      <c r="B34" s="48" t="s">
        <v>22</v>
      </c>
      <c r="C34" s="57">
        <f>VLOOKUP($C$30&amp;"-"&amp;B34,Planilha2!$A:$D,4,FALSE)</f>
        <v>0.5</v>
      </c>
      <c r="D34" s="49">
        <f>$C$31*C34</f>
        <v>1005</v>
      </c>
    </row>
    <row r="35" spans="2:4">
      <c r="B35" s="50" t="s">
        <v>23</v>
      </c>
      <c r="C35" s="57">
        <f>VLOOKUP($C$30&amp;"-"&amp;B35,Planilha2!$A:$D,4,FALSE)</f>
        <v>0.1</v>
      </c>
      <c r="D35" s="49">
        <f t="shared" ref="D35:D39" si="0">$C$31*C35</f>
        <v>201</v>
      </c>
    </row>
    <row r="36" spans="2:4">
      <c r="B36" s="50" t="s">
        <v>24</v>
      </c>
      <c r="C36" s="57">
        <f>VLOOKUP($C$30&amp;"-"&amp;B36,Planilha2!$A:$D,4,FALSE)</f>
        <v>0.05</v>
      </c>
      <c r="D36" s="49">
        <f t="shared" si="0"/>
        <v>100.5</v>
      </c>
    </row>
    <row r="37" spans="2:4">
      <c r="B37" s="50" t="s">
        <v>28</v>
      </c>
      <c r="C37" s="57">
        <f>VLOOKUP($C$30&amp;"-"&amp;B37,Planilha2!$A:$D,4,FALSE)</f>
        <v>0.05</v>
      </c>
      <c r="D37" s="49">
        <f t="shared" si="0"/>
        <v>100.5</v>
      </c>
    </row>
    <row r="38" spans="2:4">
      <c r="B38" s="50" t="s">
        <v>25</v>
      </c>
      <c r="C38" s="57">
        <f>VLOOKUP($C$30&amp;"-"&amp;B38,Planilha2!$A:$D,4,FALSE)</f>
        <v>0.2</v>
      </c>
      <c r="D38" s="49">
        <f t="shared" si="0"/>
        <v>402</v>
      </c>
    </row>
    <row r="39" spans="2:4">
      <c r="B39" s="51" t="s">
        <v>26</v>
      </c>
      <c r="C39" s="57">
        <f>VLOOKUP($C$30&amp;"-"&amp;B39,Planilha2!$A:$D,4,FALSE)</f>
        <v>0.1</v>
      </c>
      <c r="D39" s="49">
        <f t="shared" si="0"/>
        <v>201</v>
      </c>
    </row>
    <row r="40" spans="2:4" ht="14.4" thickBot="1">
      <c r="B40" s="46"/>
      <c r="C40" s="52"/>
      <c r="D40" s="58">
        <f>SUM(D34:D39)</f>
        <v>2010</v>
      </c>
    </row>
    <row r="41" spans="2:4"/>
    <row r="42" spans="2:4"/>
    <row r="43" spans="2:4"/>
    <row r="44" spans="2:4"/>
    <row r="45" spans="2:4"/>
    <row r="46" spans="2:4"/>
    <row r="47" spans="2:4"/>
    <row r="48" spans="2:4"/>
    <row r="49"/>
    <row r="50"/>
    <row r="51"/>
    <row r="52"/>
    <row r="53"/>
    <row r="54"/>
    <row r="55"/>
    <row r="56"/>
    <row r="57"/>
    <row r="58" ht="13.2" hidden="1" customHeight="1"/>
    <row r="65" customFormat="1" hidden="1"/>
    <row r="66" customFormat="1" hidden="1"/>
    <row r="67" customFormat="1" hidden="1"/>
    <row r="68" customFormat="1" hidden="1"/>
    <row r="69" customFormat="1" hidden="1"/>
  </sheetData>
  <mergeCells count="11">
    <mergeCell ref="B19:C19"/>
    <mergeCell ref="B20:C20"/>
    <mergeCell ref="B21:C21"/>
    <mergeCell ref="B11:D11"/>
    <mergeCell ref="B16:D16"/>
    <mergeCell ref="B23:C23"/>
    <mergeCell ref="B12:C12"/>
    <mergeCell ref="B13:C13"/>
    <mergeCell ref="B14:C14"/>
    <mergeCell ref="B17:C17"/>
    <mergeCell ref="B18:C18"/>
  </mergeCells>
  <dataValidations count="1">
    <dataValidation type="list" allowBlank="1" showInputMessage="1" showErrorMessage="1" sqref="C30" xr:uid="{96290361-4D63-4C52-88A2-96FD7E302F2C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5907-FE33-4A3D-8354-D0C36A28B790}">
  <dimension ref="A2:H20"/>
  <sheetViews>
    <sheetView workbookViewId="0">
      <selection activeCell="H4" sqref="H4"/>
    </sheetView>
  </sheetViews>
  <sheetFormatPr defaultRowHeight="13.8"/>
  <cols>
    <col min="1" max="1" width="33.796875" bestFit="1" customWidth="1"/>
    <col min="2" max="2" width="14.8984375" bestFit="1" customWidth="1"/>
    <col min="3" max="3" width="18.8984375" bestFit="1" customWidth="1"/>
    <col min="4" max="4" width="8.796875" style="1"/>
    <col min="7" max="7" width="18.5" bestFit="1" customWidth="1"/>
  </cols>
  <sheetData>
    <row r="2" spans="1:8" ht="14.4">
      <c r="A2" t="s">
        <v>30</v>
      </c>
      <c r="B2" t="s">
        <v>17</v>
      </c>
      <c r="C2" t="s">
        <v>21</v>
      </c>
      <c r="D2" s="59" t="s">
        <v>29</v>
      </c>
    </row>
    <row r="3" spans="1:8">
      <c r="A3" t="str">
        <f>B3&amp;"-"&amp;C3</f>
        <v>CONSERVADOR-PAPEL</v>
      </c>
      <c r="B3" t="s">
        <v>27</v>
      </c>
      <c r="C3" t="s">
        <v>22</v>
      </c>
      <c r="D3" s="60">
        <v>0.3</v>
      </c>
      <c r="H3" s="1" t="s">
        <v>29</v>
      </c>
    </row>
    <row r="4" spans="1:8">
      <c r="A4" t="str">
        <f t="shared" ref="A4:A20" si="0">B4&amp;"-"&amp;C4</f>
        <v>CONSERVADOR-TIJOLO</v>
      </c>
      <c r="B4" t="s">
        <v>27</v>
      </c>
      <c r="C4" t="s">
        <v>23</v>
      </c>
      <c r="D4" s="60">
        <v>0.5</v>
      </c>
      <c r="G4" s="45" t="s">
        <v>33</v>
      </c>
      <c r="H4" s="64">
        <f>VLOOKUP(G4,$A:$D,4,FALSE)</f>
        <v>0.35</v>
      </c>
    </row>
    <row r="5" spans="1:8">
      <c r="A5" t="str">
        <f t="shared" si="0"/>
        <v>CONSERVADOR-HIBRÍDOS</v>
      </c>
      <c r="B5" t="s">
        <v>27</v>
      </c>
      <c r="C5" t="s">
        <v>24</v>
      </c>
      <c r="D5" s="60">
        <v>0.1</v>
      </c>
    </row>
    <row r="6" spans="1:8">
      <c r="A6" t="str">
        <f t="shared" si="0"/>
        <v>CONSERVADOR-FOFs</v>
      </c>
      <c r="B6" t="s">
        <v>27</v>
      </c>
      <c r="C6" t="s">
        <v>28</v>
      </c>
      <c r="D6" s="60">
        <v>0.1</v>
      </c>
    </row>
    <row r="7" spans="1:8">
      <c r="A7" t="str">
        <f t="shared" si="0"/>
        <v>CONSERVADOR-DESENVOLVIMENTO</v>
      </c>
      <c r="B7" t="s">
        <v>27</v>
      </c>
      <c r="C7" t="s">
        <v>25</v>
      </c>
      <c r="D7" s="60">
        <v>0</v>
      </c>
    </row>
    <row r="8" spans="1:8" ht="14.4" thickBot="1">
      <c r="A8" s="61" t="str">
        <f t="shared" si="0"/>
        <v>CONSERVADOR-HOTELARIA</v>
      </c>
      <c r="B8" s="61" t="s">
        <v>27</v>
      </c>
      <c r="C8" s="61" t="s">
        <v>26</v>
      </c>
      <c r="D8" s="62">
        <v>0</v>
      </c>
    </row>
    <row r="9" spans="1:8">
      <c r="A9" t="str">
        <f t="shared" si="0"/>
        <v>MODERADO-PAPEL</v>
      </c>
      <c r="B9" t="s">
        <v>31</v>
      </c>
      <c r="C9" t="s">
        <v>22</v>
      </c>
      <c r="D9" s="4">
        <v>0.32</v>
      </c>
    </row>
    <row r="10" spans="1:8">
      <c r="A10" t="str">
        <f t="shared" si="0"/>
        <v>MODERADO-TIJOLO</v>
      </c>
      <c r="B10" t="s">
        <v>31</v>
      </c>
      <c r="C10" t="s">
        <v>23</v>
      </c>
      <c r="D10" s="4">
        <v>0.35</v>
      </c>
    </row>
    <row r="11" spans="1:8">
      <c r="A11" t="str">
        <f t="shared" si="0"/>
        <v>MODERADO-HIBRÍDOS</v>
      </c>
      <c r="B11" t="s">
        <v>31</v>
      </c>
      <c r="C11" t="s">
        <v>24</v>
      </c>
      <c r="D11" s="4">
        <v>0.08</v>
      </c>
    </row>
    <row r="12" spans="1:8">
      <c r="A12" t="str">
        <f t="shared" si="0"/>
        <v>MODERADO-FOFs</v>
      </c>
      <c r="B12" t="s">
        <v>31</v>
      </c>
      <c r="C12" t="s">
        <v>28</v>
      </c>
      <c r="D12" s="4">
        <v>0.05</v>
      </c>
    </row>
    <row r="13" spans="1:8">
      <c r="A13" t="str">
        <f t="shared" si="0"/>
        <v>MODERADO-DESENVOLVIMENTO</v>
      </c>
      <c r="B13" t="s">
        <v>31</v>
      </c>
      <c r="C13" t="s">
        <v>25</v>
      </c>
      <c r="D13" s="4">
        <v>0.1</v>
      </c>
    </row>
    <row r="14" spans="1:8" ht="14.4" thickBot="1">
      <c r="A14" s="61" t="str">
        <f t="shared" si="0"/>
        <v>MODERADO-HOTELARIA</v>
      </c>
      <c r="B14" s="61" t="s">
        <v>31</v>
      </c>
      <c r="C14" s="61" t="s">
        <v>26</v>
      </c>
      <c r="D14" s="63">
        <v>0.1</v>
      </c>
    </row>
    <row r="15" spans="1:8">
      <c r="A15" t="str">
        <f t="shared" si="0"/>
        <v>AGRESSIVO-PAPEL</v>
      </c>
      <c r="B15" t="s">
        <v>32</v>
      </c>
      <c r="C15" t="s">
        <v>22</v>
      </c>
      <c r="D15" s="4">
        <v>0.5</v>
      </c>
    </row>
    <row r="16" spans="1:8">
      <c r="A16" t="str">
        <f t="shared" si="0"/>
        <v>AGRESSIVO-TIJOLO</v>
      </c>
      <c r="B16" t="s">
        <v>32</v>
      </c>
      <c r="C16" t="s">
        <v>23</v>
      </c>
      <c r="D16" s="4">
        <v>0.1</v>
      </c>
    </row>
    <row r="17" spans="1:4">
      <c r="A17" t="str">
        <f t="shared" si="0"/>
        <v>AGRESSIVO-HIBRÍDOS</v>
      </c>
      <c r="B17" t="s">
        <v>32</v>
      </c>
      <c r="C17" t="s">
        <v>24</v>
      </c>
      <c r="D17" s="4">
        <v>0.05</v>
      </c>
    </row>
    <row r="18" spans="1:4">
      <c r="A18" t="str">
        <f t="shared" si="0"/>
        <v>AGRESSIVO-FOFs</v>
      </c>
      <c r="B18" t="s">
        <v>32</v>
      </c>
      <c r="C18" t="s">
        <v>28</v>
      </c>
      <c r="D18" s="4">
        <v>0.05</v>
      </c>
    </row>
    <row r="19" spans="1:4">
      <c r="A19" t="str">
        <f t="shared" si="0"/>
        <v>AGRESSIVO-DESENVOLVIMENTO</v>
      </c>
      <c r="B19" t="s">
        <v>32</v>
      </c>
      <c r="C19" t="s">
        <v>25</v>
      </c>
      <c r="D19" s="4">
        <v>0.2</v>
      </c>
    </row>
    <row r="20" spans="1:4" ht="14.4" thickBot="1">
      <c r="A20" s="61" t="str">
        <f t="shared" si="0"/>
        <v>AGRESSIVO-HOTELARIA</v>
      </c>
      <c r="B20" s="61" t="s">
        <v>32</v>
      </c>
      <c r="C20" s="61" t="s">
        <v>26</v>
      </c>
      <c r="D20" s="6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FERNANDES</dc:creator>
  <cp:lastModifiedBy>Priscila Fernandes</cp:lastModifiedBy>
  <dcterms:created xsi:type="dcterms:W3CDTF">2026-08-25T20:41:53Z</dcterms:created>
  <dcterms:modified xsi:type="dcterms:W3CDTF">2026-08-25T22:34:45Z</dcterms:modified>
</cp:coreProperties>
</file>